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mc:AlternateContent xmlns:mc="http://schemas.openxmlformats.org/markup-compatibility/2006">
    <mc:Choice Requires="x15">
      <x15ac:absPath xmlns:x15ac="http://schemas.microsoft.com/office/spreadsheetml/2010/11/ac" url="https://d.docs.live.net/597939bffe1597e6/Desktop/"/>
    </mc:Choice>
  </mc:AlternateContent>
  <xr:revisionPtr revIDLastSave="0" documentId="8_{626159A6-CE86-4E19-B7F1-FB820488F8AF}" xr6:coauthVersionLast="47" xr6:coauthVersionMax="47" xr10:uidLastSave="{00000000-0000-0000-0000-000000000000}"/>
  <bookViews>
    <workbookView xWindow="-120" yWindow="-120" windowWidth="20730" windowHeight="11160" xr2:uid="{00000000-000D-0000-FFFF-FFFF00000000}"/>
  </bookViews>
  <sheets>
    <sheet name="Sheet1" sheetId="3" r:id="rId1"/>
    <sheet name="Sheet3" sheetId="5" r:id="rId2"/>
    <sheet name="Orders Data" sheetId="1" r:id="rId3"/>
    <sheet name="Sales Summary" sheetId="2" r:id="rId4"/>
  </sheets>
  <definedNames>
    <definedName name="_xlnm._FilterDatabase" localSheetId="2" hidden="1">'Orders Data'!$A$1:$E$21</definedName>
    <definedName name="Slicer_Order_Date">#N/A</definedName>
  </definedNames>
  <calcPr calcId="191029"/>
  <pivotCaches>
    <pivotCache cacheId="16"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7" i="2" l="1"/>
  <c r="B6" i="2"/>
  <c r="B5" i="2"/>
  <c r="B4" i="2"/>
  <c r="B8" i="2" s="1"/>
</calcChain>
</file>

<file path=xl/sharedStrings.xml><?xml version="1.0" encoding="utf-8"?>
<sst xmlns="http://schemas.openxmlformats.org/spreadsheetml/2006/main" count="81" uniqueCount="27">
  <si>
    <t>Order ID</t>
  </si>
  <si>
    <t>Delivery App</t>
  </si>
  <si>
    <t>Restaurant Name</t>
  </si>
  <si>
    <t>Order Date</t>
  </si>
  <si>
    <t>Total Amount</t>
  </si>
  <si>
    <t>Swiggy</t>
  </si>
  <si>
    <t>Spice Garden</t>
  </si>
  <si>
    <t>Zomato</t>
  </si>
  <si>
    <t>Pizza Hub</t>
  </si>
  <si>
    <t>Urban Tadka</t>
  </si>
  <si>
    <t>Burger Point</t>
  </si>
  <si>
    <t>Total Sales per Restaurant</t>
  </si>
  <si>
    <t>Pivot-style summary (SUM of Total Amount grouped by Restaurant Name)</t>
  </si>
  <si>
    <t>Sum of Total Amount</t>
  </si>
  <si>
    <t>Grand Total</t>
  </si>
  <si>
    <t>To create a real Excel PivotTable:</t>
  </si>
  <si>
    <t>1. Open Orders Data and click any cell in the dataset.</t>
  </si>
  <si>
    <t>2. Select Insert &gt; PivotTable &gt; From Table/Range &gt; New Worksheet &gt; OK.</t>
  </si>
  <si>
    <t>3. Drag Restaurant Name to Rows, and Total Amount to Values (ensure it says Sum).</t>
  </si>
  <si>
    <t>4. Rename the Values field to Total Sales if desired.</t>
  </si>
  <si>
    <t>Row Labels</t>
  </si>
  <si>
    <t xml:space="preserve">TASK 2-- “Inserted a Pivot Bar Chart to compare total sales </t>
  </si>
  <si>
    <t>2026</t>
  </si>
  <si>
    <t>Sep</t>
  </si>
  <si>
    <t>Column Labels</t>
  </si>
  <si>
    <t>FOOD DELIVERY SALES DASHBOARD</t>
  </si>
  <si>
    <t>2026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</si>
</sst>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5" formatCode="dd\-mmm\-yyyy"/>
    <numFmt numFmtId="166" formatCode="\₹#,##0.00"/>
  </numFmts>
  <fonts count="6" x14ac:knownFonts="1">
    <font>
      <sz val="11"/>
      <color theme="1"/>
      <name val="Calibri"/>
      <family val="2"/>
      <scheme val="minor"/>
    </font>
    <font>
      <b/>
      <sz val="11"/>
      <name val="Calibri"/>
    </font>
    <font>
      <b/>
      <sz val="11"/>
      <color rgb="FFFFFFFF"/>
      <name val="Calibri"/>
    </font>
    <font>
      <b/>
      <sz val="16"/>
      <color rgb="FFFFFFFF"/>
      <name val="Calibri"/>
    </font>
    <font>
      <i/>
      <sz val="11"/>
      <color rgb="FF555555"/>
      <name val="Calibri"/>
    </font>
    <font>
      <sz val="20"/>
      <color theme="0"/>
      <name val="Calibri"/>
      <family val="2"/>
      <scheme val="minor"/>
    </font>
  </fonts>
  <fills count="6">
    <fill>
      <patternFill patternType="none"/>
    </fill>
    <fill>
      <patternFill patternType="gray125"/>
    </fill>
    <fill>
      <patternFill patternType="solid">
        <fgColor rgb="FF2563EB"/>
      </patternFill>
    </fill>
    <fill>
      <patternFill patternType="solid">
        <fgColor rgb="FF15803D"/>
      </patternFill>
    </fill>
    <fill>
      <patternFill patternType="solid">
        <fgColor rgb="FFD1FAE5"/>
      </patternFill>
    </fill>
    <fill>
      <patternFill patternType="solid">
        <fgColor theme="3" tint="0.39997558519241921"/>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8">
    <xf numFmtId="0" fontId="0" fillId="0" borderId="0" xfId="0"/>
    <xf numFmtId="0" fontId="2" fillId="2" borderId="1" xfId="0" applyFont="1" applyFill="1" applyBorder="1" applyAlignment="1">
      <alignment horizontal="center" vertical="top"/>
    </xf>
    <xf numFmtId="165" fontId="0" fillId="0" borderId="0" xfId="0" applyNumberFormat="1"/>
    <xf numFmtId="166" fontId="0" fillId="0" borderId="0" xfId="0" applyNumberFormat="1"/>
    <xf numFmtId="0" fontId="4" fillId="0" borderId="0" xfId="0" applyFont="1"/>
    <xf numFmtId="0" fontId="2" fillId="3" borderId="1" xfId="0" applyFont="1" applyFill="1" applyBorder="1" applyAlignment="1">
      <alignment horizontal="center" vertical="top"/>
    </xf>
    <xf numFmtId="0" fontId="2" fillId="3" borderId="0" xfId="0" applyFont="1" applyFill="1"/>
    <xf numFmtId="0" fontId="1" fillId="4" borderId="0" xfId="0" applyFont="1" applyFill="1"/>
    <xf numFmtId="0" fontId="0" fillId="0" borderId="0" xfId="0" applyAlignment="1">
      <alignment vertical="top" wrapText="1"/>
    </xf>
    <xf numFmtId="0" fontId="0" fillId="0" borderId="0" xfId="0"/>
    <xf numFmtId="0" fontId="1" fillId="0" borderId="0" xfId="0" applyFont="1" applyAlignment="1">
      <alignment vertical="top" wrapText="1"/>
    </xf>
    <xf numFmtId="0" fontId="3" fillId="3" borderId="0" xfId="0" applyFont="1" applyFill="1"/>
    <xf numFmtId="0" fontId="0" fillId="0" borderId="0" xfId="0" pivotButton="1"/>
    <xf numFmtId="0" fontId="0" fillId="0" borderId="0" xfId="0" applyAlignment="1">
      <alignment horizontal="left"/>
    </xf>
    <xf numFmtId="0" fontId="0" fillId="0" borderId="0" xfId="0" applyNumberFormat="1"/>
    <xf numFmtId="165" fontId="0" fillId="0" borderId="0" xfId="0" applyNumberFormat="1" applyAlignment="1">
      <alignment horizontal="left" indent="1"/>
    </xf>
    <xf numFmtId="0" fontId="5" fillId="5" borderId="0" xfId="0" applyFont="1" applyFill="1" applyAlignment="1">
      <alignment horizontal="center"/>
    </xf>
    <xf numFmtId="0" fontId="0" fillId="0" borderId="0" xfId="0" applyAlignment="1">
      <alignment horizontal="left" indent="2"/>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5" Type="http://schemas.openxmlformats.org/officeDocument/2006/relationships/pivotCacheDefinition" Target="pivotCache/pivotCacheDefinition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[session 16.xlsx]Sheet1!PivotTable1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Sheet1!$B$3</c:f>
              <c:strCache>
                <c:ptCount val="1"/>
                <c:pt idx="0">
                  <c:v>Total</c:v>
                </c:pt>
              </c:strCache>
            </c:strRef>
          </c:tx>
          <c:spPr>
            <a:solidFill>
              <a:schemeClr val="accent2"/>
            </a:solidFill>
            <a:ln>
              <a:noFill/>
            </a:ln>
            <a:effectLst/>
          </c:spPr>
          <c:invertIfNegative val="0"/>
          <c:cat>
            <c:multiLvlStrRef>
              <c:f>Sheet1!$A$4:$A$10</c:f>
              <c:multiLvlStrCache>
                <c:ptCount val="4"/>
                <c:lvl>
                  <c:pt idx="0">
                    <c:v>Burger Point</c:v>
                  </c:pt>
                  <c:pt idx="1">
                    <c:v>Pizza Hub</c:v>
                  </c:pt>
                  <c:pt idx="2">
                    <c:v>Spice Garden</c:v>
                  </c:pt>
                  <c:pt idx="3">
                    <c:v>Urban Tadka</c:v>
                  </c:pt>
                </c:lvl>
                <c:lvl>
                  <c:pt idx="0">
                    <c:v>Sep</c:v>
                  </c:pt>
                </c:lvl>
                <c:lvl>
                  <c:pt idx="0">
                    <c:v>2026</c:v>
                  </c:pt>
                </c:lvl>
              </c:multiLvlStrCache>
            </c:multiLvlStrRef>
          </c:cat>
          <c:val>
            <c:numRef>
              <c:f>Sheet1!$B$4:$B$10</c:f>
              <c:numCache>
                <c:formatCode>General</c:formatCode>
                <c:ptCount val="4"/>
                <c:pt idx="0">
                  <c:v>1770</c:v>
                </c:pt>
                <c:pt idx="1">
                  <c:v>4043</c:v>
                </c:pt>
                <c:pt idx="2">
                  <c:v>2840</c:v>
                </c:pt>
                <c:pt idx="3">
                  <c:v>3200</c:v>
                </c:pt>
              </c:numCache>
            </c:numRef>
          </c:val>
          <c:extLst>
            <c:ext xmlns:c16="http://schemas.microsoft.com/office/drawing/2014/chart" uri="{C3380CC4-5D6E-409C-BE32-E72D297353CC}">
              <c16:uniqueId val="{00000000-EAE0-445D-B270-BD03278A82A2}"/>
            </c:ext>
          </c:extLst>
        </c:ser>
        <c:dLbls>
          <c:showLegendKey val="0"/>
          <c:showVal val="0"/>
          <c:showCatName val="0"/>
          <c:showSerName val="0"/>
          <c:showPercent val="0"/>
          <c:showBubbleSize val="0"/>
        </c:dLbls>
        <c:gapWidth val="182"/>
        <c:axId val="668565903"/>
        <c:axId val="668566319"/>
      </c:barChart>
      <c:catAx>
        <c:axId val="6685659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8566319"/>
        <c:crosses val="autoZero"/>
        <c:auto val="1"/>
        <c:lblAlgn val="ctr"/>
        <c:lblOffset val="100"/>
        <c:noMultiLvlLbl val="0"/>
      </c:catAx>
      <c:valAx>
        <c:axId val="66856631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85659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[session 16.xlsx]Sheet1!PivotTable1</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Sheet1!$B$3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multiLvlStrRef>
              <c:f>Sheet1!$A$4:$A$10</c:f>
              <c:multiLvlStrCache>
                <c:ptCount val="4"/>
                <c:lvl>
                  <c:pt idx="0">
                    <c:v>Burger Point</c:v>
                  </c:pt>
                  <c:pt idx="1">
                    <c:v>Pizza Hub</c:v>
                  </c:pt>
                  <c:pt idx="2">
                    <c:v>Spice Garden</c:v>
                  </c:pt>
                  <c:pt idx="3">
                    <c:v>Urban Tadka</c:v>
                  </c:pt>
                </c:lvl>
                <c:lvl>
                  <c:pt idx="0">
                    <c:v>Sep</c:v>
                  </c:pt>
                </c:lvl>
                <c:lvl>
                  <c:pt idx="0">
                    <c:v>2026</c:v>
                  </c:pt>
                </c:lvl>
              </c:multiLvlStrCache>
            </c:multiLvlStrRef>
          </c:cat>
          <c:val>
            <c:numRef>
              <c:f>Sheet1!$B$4:$B$10</c:f>
              <c:numCache>
                <c:formatCode>General</c:formatCode>
                <c:ptCount val="4"/>
                <c:pt idx="0">
                  <c:v>1770</c:v>
                </c:pt>
                <c:pt idx="1">
                  <c:v>4043</c:v>
                </c:pt>
                <c:pt idx="2">
                  <c:v>2840</c:v>
                </c:pt>
                <c:pt idx="3">
                  <c:v>3200</c:v>
                </c:pt>
              </c:numCache>
            </c:numRef>
          </c:val>
          <c:extLst>
            <c:ext xmlns:c16="http://schemas.microsoft.com/office/drawing/2014/chart" uri="{C3380CC4-5D6E-409C-BE32-E72D297353CC}">
              <c16:uniqueId val="{00000000-6E75-498C-B2E5-79AEC730663B}"/>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[session 16.xlsx]Sheet3!PivotTable2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monthly</a:t>
            </a:r>
            <a:r>
              <a:rPr lang="en-IN" baseline="0"/>
              <a:t> sales trends - top 3 restaurants</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Sheet3!$B$3:$B$5</c:f>
              <c:strCache>
                <c:ptCount val="1"/>
                <c:pt idx="0">
                  <c:v>2026 - Sep</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Sheet3!$A$6:$A$9</c:f>
              <c:strCache>
                <c:ptCount val="3"/>
                <c:pt idx="0">
                  <c:v>Pizza Hub</c:v>
                </c:pt>
                <c:pt idx="1">
                  <c:v>Spice Garden</c:v>
                </c:pt>
                <c:pt idx="2">
                  <c:v>Urban Tadka</c:v>
                </c:pt>
              </c:strCache>
            </c:strRef>
          </c:cat>
          <c:val>
            <c:numRef>
              <c:f>Sheet3!$B$6:$B$9</c:f>
              <c:numCache>
                <c:formatCode>General</c:formatCode>
                <c:ptCount val="3"/>
                <c:pt idx="0">
                  <c:v>4043</c:v>
                </c:pt>
                <c:pt idx="1">
                  <c:v>2840</c:v>
                </c:pt>
                <c:pt idx="2">
                  <c:v>3200</c:v>
                </c:pt>
              </c:numCache>
            </c:numRef>
          </c:val>
          <c:smooth val="0"/>
          <c:extLst>
            <c:ext xmlns:c16="http://schemas.microsoft.com/office/drawing/2014/chart" uri="{C3380CC4-5D6E-409C-BE32-E72D297353CC}">
              <c16:uniqueId val="{00000000-00AB-46F2-BA9D-88EAEA84B5A2}"/>
            </c:ext>
          </c:extLst>
        </c:ser>
        <c:dLbls>
          <c:showLegendKey val="0"/>
          <c:showVal val="0"/>
          <c:showCatName val="0"/>
          <c:showSerName val="0"/>
          <c:showPercent val="0"/>
          <c:showBubbleSize val="0"/>
        </c:dLbls>
        <c:marker val="1"/>
        <c:smooth val="0"/>
        <c:axId val="668567151"/>
        <c:axId val="668562991"/>
      </c:lineChart>
      <c:catAx>
        <c:axId val="6685671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8562991"/>
        <c:crosses val="autoZero"/>
        <c:auto val="1"/>
        <c:lblAlgn val="ctr"/>
        <c:lblOffset val="100"/>
        <c:noMultiLvlLbl val="0"/>
      </c:catAx>
      <c:valAx>
        <c:axId val="6685629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85671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3</xdr:col>
      <xdr:colOff>38100</xdr:colOff>
      <xdr:row>1</xdr:row>
      <xdr:rowOff>180975</xdr:rowOff>
    </xdr:from>
    <xdr:to>
      <xdr:col>10</xdr:col>
      <xdr:colOff>342900</xdr:colOff>
      <xdr:row>16</xdr:row>
      <xdr:rowOff>66675</xdr:rowOff>
    </xdr:to>
    <xdr:graphicFrame macro="">
      <xdr:nvGraphicFramePr>
        <xdr:cNvPr id="2" name="Chart 1">
          <a:extLst>
            <a:ext uri="{FF2B5EF4-FFF2-40B4-BE49-F238E27FC236}">
              <a16:creationId xmlns:a16="http://schemas.microsoft.com/office/drawing/2014/main" id="{EEBE2A5D-1485-46A7-AE52-C0616A1021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38100</xdr:colOff>
      <xdr:row>2</xdr:row>
      <xdr:rowOff>28575</xdr:rowOff>
    </xdr:from>
    <xdr:to>
      <xdr:col>14</xdr:col>
      <xdr:colOff>38100</xdr:colOff>
      <xdr:row>15</xdr:row>
      <xdr:rowOff>76200</xdr:rowOff>
    </xdr:to>
    <mc:AlternateContent xmlns:mc="http://schemas.openxmlformats.org/markup-compatibility/2006">
      <mc:Choice xmlns:a14="http://schemas.microsoft.com/office/drawing/2010/main" Requires="a14">
        <xdr:graphicFrame macro="">
          <xdr:nvGraphicFramePr>
            <xdr:cNvPr id="4" name="Order Date">
              <a:extLst>
                <a:ext uri="{FF2B5EF4-FFF2-40B4-BE49-F238E27FC236}">
                  <a16:creationId xmlns:a16="http://schemas.microsoft.com/office/drawing/2014/main" id="{F72F681F-2361-4168-87CE-23121406DAFD}"/>
                </a:ext>
              </a:extLst>
            </xdr:cNvPr>
            <xdr:cNvGraphicFramePr/>
          </xdr:nvGraphicFramePr>
          <xdr:xfrm>
            <a:off x="0" y="0"/>
            <a:ext cx="0" cy="0"/>
          </xdr:xfrm>
          <a:graphic>
            <a:graphicData uri="http://schemas.microsoft.com/office/drawing/2010/slicer">
              <sle:slicer xmlns:sle="http://schemas.microsoft.com/office/drawing/2010/slicer" name="Order Date"/>
            </a:graphicData>
          </a:graphic>
        </xdr:graphicFrame>
      </mc:Choice>
      <mc:Fallback>
        <xdr:sp macro="" textlink="">
          <xdr:nvSpPr>
            <xdr:cNvPr id="0" name=""/>
            <xdr:cNvSpPr>
              <a:spLocks noTextEdit="1"/>
            </xdr:cNvSpPr>
          </xdr:nvSpPr>
          <xdr:spPr>
            <a:xfrm>
              <a:off x="10629900" y="4095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38100</xdr:colOff>
      <xdr:row>21</xdr:row>
      <xdr:rowOff>171450</xdr:rowOff>
    </xdr:from>
    <xdr:to>
      <xdr:col>6</xdr:col>
      <xdr:colOff>85725</xdr:colOff>
      <xdr:row>36</xdr:row>
      <xdr:rowOff>57150</xdr:rowOff>
    </xdr:to>
    <xdr:graphicFrame macro="">
      <xdr:nvGraphicFramePr>
        <xdr:cNvPr id="5" name="Chart 4">
          <a:extLst>
            <a:ext uri="{FF2B5EF4-FFF2-40B4-BE49-F238E27FC236}">
              <a16:creationId xmlns:a16="http://schemas.microsoft.com/office/drawing/2014/main" id="{7FC5ED68-F757-4847-9E59-C308392401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0</xdr:colOff>
      <xdr:row>2</xdr:row>
      <xdr:rowOff>0</xdr:rowOff>
    </xdr:from>
    <xdr:to>
      <xdr:col>11</xdr:col>
      <xdr:colOff>304800</xdr:colOff>
      <xdr:row>16</xdr:row>
      <xdr:rowOff>76200</xdr:rowOff>
    </xdr:to>
    <xdr:graphicFrame macro="">
      <xdr:nvGraphicFramePr>
        <xdr:cNvPr id="3" name="Chart 2">
          <a:extLst>
            <a:ext uri="{FF2B5EF4-FFF2-40B4-BE49-F238E27FC236}">
              <a16:creationId xmlns:a16="http://schemas.microsoft.com/office/drawing/2014/main" id="{86C9D58A-748D-4BDD-B5CB-0CB282A0BB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UPUR" refreshedDate="46297.072729282409" createdVersion="7" refreshedVersion="7" minRefreshableVersion="3" recordCount="20" xr:uid="{27F73224-0515-41AB-A697-D2D4BC55E09D}">
  <cacheSource type="worksheet">
    <worksheetSource ref="A1:E21" sheet="Orders Data"/>
  </cacheSource>
  <cacheFields count="6">
    <cacheField name="Order ID" numFmtId="0">
      <sharedItems containsSemiMixedTypes="0" containsString="0" containsNumber="1" containsInteger="1" minValue="1001" maxValue="1020"/>
    </cacheField>
    <cacheField name="Delivery App" numFmtId="0">
      <sharedItems/>
    </cacheField>
    <cacheField name="Restaurant Name" numFmtId="0">
      <sharedItems count="4">
        <s v="Spice Garden"/>
        <s v="Pizza Hub"/>
        <s v="Urban Tadka"/>
        <s v="Burger Point"/>
      </sharedItems>
    </cacheField>
    <cacheField name="Order Date" numFmtId="165">
      <sharedItems containsSemiMixedTypes="0" containsNonDate="0" containsDate="1" containsString="0" minDate="2026-09-01T00:00:00" maxDate="2026-09-11T00:00:00" count="10">
        <d v="2026-09-01T00:00:00"/>
        <d v="2026-09-02T00:00:00"/>
        <d v="2026-09-03T00:00:00"/>
        <d v="2026-09-04T00:00:00"/>
        <d v="2026-09-05T00:00:00"/>
        <d v="2026-09-06T00:00:00"/>
        <d v="2026-09-07T00:00:00"/>
        <d v="2026-09-08T00:00:00"/>
        <d v="2026-09-09T00:00:00"/>
        <d v="2026-09-10T00:00:00"/>
      </sharedItems>
      <fieldGroup par="5" base="3">
        <rangePr groupBy="months" startDate="2026-09-01T00:00:00" endDate="2026-09-11T00:00:00"/>
        <groupItems count="14">
          <s v="&lt;01-09-2026"/>
          <s v="Jan"/>
          <s v="Feb"/>
          <s v="Mar"/>
          <s v="Apr"/>
          <s v="May"/>
          <s v="Jun"/>
          <s v="Jul"/>
          <s v="Aug"/>
          <s v="Sep"/>
          <s v="Oct"/>
          <s v="Nov"/>
          <s v="Dec"/>
          <s v="&gt;11-09-2026"/>
        </groupItems>
      </fieldGroup>
    </cacheField>
    <cacheField name="Total Amount" numFmtId="166">
      <sharedItems containsSemiMixedTypes="0" containsString="0" containsNumber="1" containsInteger="1" minValue="350" maxValue="999"/>
    </cacheField>
    <cacheField name="Years" numFmtId="0" databaseField="0">
      <fieldGroup base="3">
        <rangePr groupBy="years" startDate="2026-09-01T00:00:00" endDate="2026-09-11T00:00:00"/>
        <groupItems count="3">
          <s v="&lt;01-09-2026"/>
          <s v="2026"/>
          <s v="&gt;11-09-2026"/>
        </groupItems>
      </fieldGroup>
    </cacheField>
  </cacheFields>
  <extLst>
    <ext xmlns:x14="http://schemas.microsoft.com/office/spreadsheetml/2009/9/main" uri="{725AE2AE-9491-48be-B2B4-4EB974FC3084}">
      <x14:pivotCacheDefinition pivotCacheId="6523442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n v="1001"/>
    <s v="Swiggy"/>
    <x v="0"/>
    <x v="0"/>
    <n v="450"/>
  </r>
  <r>
    <n v="1002"/>
    <s v="Zomato"/>
    <x v="1"/>
    <x v="0"/>
    <n v="799"/>
  </r>
  <r>
    <n v="1003"/>
    <s v="Swiggy"/>
    <x v="2"/>
    <x v="1"/>
    <n v="620"/>
  </r>
  <r>
    <n v="1004"/>
    <s v="Zomato"/>
    <x v="0"/>
    <x v="1"/>
    <n v="350"/>
  </r>
  <r>
    <n v="1005"/>
    <s v="Swiggy"/>
    <x v="1"/>
    <x v="2"/>
    <n v="999"/>
  </r>
  <r>
    <n v="1006"/>
    <s v="Zomato"/>
    <x v="3"/>
    <x v="2"/>
    <n v="420"/>
  </r>
  <r>
    <n v="1007"/>
    <s v="Swiggy"/>
    <x v="0"/>
    <x v="3"/>
    <n v="550"/>
  </r>
  <r>
    <n v="1008"/>
    <s v="Zomato"/>
    <x v="2"/>
    <x v="3"/>
    <n v="700"/>
  </r>
  <r>
    <n v="1009"/>
    <s v="Swiggy"/>
    <x v="3"/>
    <x v="4"/>
    <n v="380"/>
  </r>
  <r>
    <n v="1010"/>
    <s v="Zomato"/>
    <x v="1"/>
    <x v="4"/>
    <n v="650"/>
  </r>
  <r>
    <n v="1011"/>
    <s v="Swiggy"/>
    <x v="2"/>
    <x v="5"/>
    <n v="480"/>
  </r>
  <r>
    <n v="1012"/>
    <s v="Zomato"/>
    <x v="0"/>
    <x v="5"/>
    <n v="625"/>
  </r>
  <r>
    <n v="1013"/>
    <s v="Swiggy"/>
    <x v="1"/>
    <x v="6"/>
    <n v="720"/>
  </r>
  <r>
    <n v="1014"/>
    <s v="Zomato"/>
    <x v="3"/>
    <x v="6"/>
    <n v="510"/>
  </r>
  <r>
    <n v="1015"/>
    <s v="Swiggy"/>
    <x v="0"/>
    <x v="7"/>
    <n v="390"/>
  </r>
  <r>
    <n v="1016"/>
    <s v="Zomato"/>
    <x v="2"/>
    <x v="7"/>
    <n v="840"/>
  </r>
  <r>
    <n v="1017"/>
    <s v="Swiggy"/>
    <x v="3"/>
    <x v="8"/>
    <n v="460"/>
  </r>
  <r>
    <n v="1018"/>
    <s v="Zomato"/>
    <x v="1"/>
    <x v="8"/>
    <n v="875"/>
  </r>
  <r>
    <n v="1019"/>
    <s v="Swiggy"/>
    <x v="2"/>
    <x v="9"/>
    <n v="560"/>
  </r>
  <r>
    <n v="1020"/>
    <s v="Zomato"/>
    <x v="0"/>
    <x v="9"/>
    <n v="47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1E2ED45-CAD1-43AA-A6C3-3152C52EDAF4}" name="PivotTable1" cacheId="1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
  <location ref="A3:B10" firstHeaderRow="1" firstDataRow="1" firstDataCol="1"/>
  <pivotFields count="6">
    <pivotField showAll="0"/>
    <pivotField showAll="0"/>
    <pivotField axis="axisRow" showAll="0">
      <items count="5">
        <item x="3"/>
        <item x="1"/>
        <item x="0"/>
        <item x="2"/>
        <item t="default"/>
      </items>
    </pivotField>
    <pivotField axis="axisRow" numFmtId="165" showAll="0">
      <items count="15">
        <item x="0"/>
        <item x="1"/>
        <item x="2"/>
        <item x="3"/>
        <item x="4"/>
        <item x="5"/>
        <item x="6"/>
        <item x="7"/>
        <item x="8"/>
        <item x="9"/>
        <item x="10"/>
        <item x="11"/>
        <item x="12"/>
        <item x="13"/>
        <item t="default"/>
      </items>
    </pivotField>
    <pivotField dataField="1" numFmtId="166" showAll="0"/>
    <pivotField axis="axisRow" showAll="0">
      <items count="4">
        <item x="0"/>
        <item x="1"/>
        <item x="2"/>
        <item t="default"/>
      </items>
    </pivotField>
  </pivotFields>
  <rowFields count="3">
    <field x="5"/>
    <field x="3"/>
    <field x="2"/>
  </rowFields>
  <rowItems count="7">
    <i>
      <x v="1"/>
    </i>
    <i r="1">
      <x v="9"/>
    </i>
    <i r="2">
      <x/>
    </i>
    <i r="2">
      <x v="1"/>
    </i>
    <i r="2">
      <x v="2"/>
    </i>
    <i r="2">
      <x v="3"/>
    </i>
    <i t="grand">
      <x/>
    </i>
  </rowItems>
  <colItems count="1">
    <i/>
  </colItems>
  <dataFields count="1">
    <dataField name="Sum of Total Amount" fld="4" baseField="0" baseItem="0"/>
  </dataFields>
  <chartFormats count="5">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 chart="0" format="3" series="1">
      <pivotArea type="data" outline="0" fieldPosition="0">
        <references count="2">
          <reference field="4294967294" count="1" selected="0">
            <x v="0"/>
          </reference>
          <reference field="2" count="1" selected="0">
            <x v="3"/>
          </reference>
        </references>
      </pivotArea>
    </chartFormat>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E230434-4F4A-4614-AB4F-A0F98177166B}" name="PivotTable2" cacheId="1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3:D9" firstHeaderRow="1" firstDataRow="3" firstDataCol="1"/>
  <pivotFields count="6">
    <pivotField showAll="0"/>
    <pivotField showAll="0"/>
    <pivotField axis="axisRow" showAll="0" measureFilter="1">
      <items count="5">
        <item x="3"/>
        <item x="1"/>
        <item x="0"/>
        <item x="2"/>
        <item t="default"/>
      </items>
    </pivotField>
    <pivotField axis="axisCol" numFmtId="165" showAll="0">
      <items count="15">
        <item x="0"/>
        <item x="1"/>
        <item x="2"/>
        <item x="3"/>
        <item x="4"/>
        <item x="5"/>
        <item x="6"/>
        <item x="7"/>
        <item x="8"/>
        <item x="9"/>
        <item x="10"/>
        <item x="11"/>
        <item x="12"/>
        <item x="13"/>
        <item t="default"/>
      </items>
    </pivotField>
    <pivotField dataField="1" numFmtId="166" showAll="0"/>
    <pivotField axis="axisCol" showAll="0">
      <items count="4">
        <item x="0"/>
        <item x="1"/>
        <item x="2"/>
        <item t="default"/>
      </items>
    </pivotField>
  </pivotFields>
  <rowFields count="1">
    <field x="2"/>
  </rowFields>
  <rowItems count="4">
    <i>
      <x v="1"/>
    </i>
    <i>
      <x v="2"/>
    </i>
    <i>
      <x v="3"/>
    </i>
    <i t="grand">
      <x/>
    </i>
  </rowItems>
  <colFields count="2">
    <field x="5"/>
    <field x="3"/>
  </colFields>
  <colItems count="3">
    <i>
      <x v="1"/>
      <x v="9"/>
    </i>
    <i t="default">
      <x v="1"/>
    </i>
    <i t="grand">
      <x/>
    </i>
  </colItems>
  <dataFields count="1">
    <dataField name="Sum of Total Amount" fld="4" baseField="0" baseItem="0"/>
  </dataFields>
  <pivotTableStyleInfo name="PivotStyleLight16" showRowHeaders="1" showColHeaders="1" showRowStripes="0" showColStripes="0" showLastColumn="1"/>
  <filters count="1">
    <filter fld="2" type="count" evalOrder="-1" id="1"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 xr10:uid="{6695C9D1-BCEA-49A9-A421-3F6FE836C112}" sourceName="Order Date">
  <pivotTables>
    <pivotTable tabId="3" name="PivotTable1"/>
  </pivotTables>
  <data>
    <tabular pivotCacheId="65234424">
      <items count="14">
        <i x="9" s="1"/>
        <i x="1" s="1" nd="1"/>
        <i x="2" s="1" nd="1"/>
        <i x="3" s="1" nd="1"/>
        <i x="4" s="1" nd="1"/>
        <i x="5" s="1" nd="1"/>
        <i x="6" s="1" nd="1"/>
        <i x="7" s="1" nd="1"/>
        <i x="8" s="1" nd="1"/>
        <i x="10" s="1" nd="1"/>
        <i x="11" s="1" nd="1"/>
        <i x="12" s="1" nd="1"/>
        <i x="0" s="1" nd="1"/>
        <i x="1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Date" xr10:uid="{FC06FC4D-FE38-4B1A-9CAA-9A2BB16ED3CE}" cache="Slicer_Order_Date" caption="Order Date"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69FC09-3CF4-471F-96D9-D9098575C252}">
  <dimension ref="A3:D18"/>
  <sheetViews>
    <sheetView tabSelected="1" workbookViewId="0">
      <selection activeCell="A4" sqref="A4"/>
      <pivotSelection pane="bottomRight" showHeader="1" axis="axisRow" activeRow="3" previousRow="3" click="1" r:id="rId1">
        <pivotArea dataOnly="0" labelOnly="1" fieldPosition="0">
          <references count="1">
            <reference field="5" count="0"/>
          </references>
        </pivotArea>
      </pivotSelection>
    </sheetView>
  </sheetViews>
  <sheetFormatPr defaultRowHeight="15" x14ac:dyDescent="0.25"/>
  <cols>
    <col min="1" max="1" width="18.28515625" bestFit="1" customWidth="1"/>
    <col min="2" max="2" width="19.85546875" bestFit="1" customWidth="1"/>
    <col min="3" max="4" width="11.28515625" bestFit="1" customWidth="1"/>
    <col min="5" max="5" width="14.42578125" bestFit="1" customWidth="1"/>
    <col min="6" max="6" width="14.5703125" bestFit="1" customWidth="1"/>
    <col min="7" max="7" width="17.85546875" bestFit="1" customWidth="1"/>
    <col min="8" max="8" width="13.85546875" bestFit="1" customWidth="1"/>
    <col min="9" max="9" width="17" bestFit="1" customWidth="1"/>
    <col min="10" max="10" width="11.28515625" bestFit="1" customWidth="1"/>
  </cols>
  <sheetData>
    <row r="3" spans="1:2" x14ac:dyDescent="0.25">
      <c r="A3" s="12" t="s">
        <v>20</v>
      </c>
      <c r="B3" t="s">
        <v>13</v>
      </c>
    </row>
    <row r="4" spans="1:2" x14ac:dyDescent="0.25">
      <c r="A4" s="13" t="s">
        <v>22</v>
      </c>
      <c r="B4" s="14">
        <v>11853</v>
      </c>
    </row>
    <row r="5" spans="1:2" x14ac:dyDescent="0.25">
      <c r="A5" s="15" t="s">
        <v>23</v>
      </c>
      <c r="B5" s="14">
        <v>11853</v>
      </c>
    </row>
    <row r="6" spans="1:2" x14ac:dyDescent="0.25">
      <c r="A6" s="17" t="s">
        <v>10</v>
      </c>
      <c r="B6" s="14">
        <v>1770</v>
      </c>
    </row>
    <row r="7" spans="1:2" x14ac:dyDescent="0.25">
      <c r="A7" s="17" t="s">
        <v>8</v>
      </c>
      <c r="B7" s="14">
        <v>4043</v>
      </c>
    </row>
    <row r="8" spans="1:2" x14ac:dyDescent="0.25">
      <c r="A8" s="17" t="s">
        <v>6</v>
      </c>
      <c r="B8" s="14">
        <v>2840</v>
      </c>
    </row>
    <row r="9" spans="1:2" x14ac:dyDescent="0.25">
      <c r="A9" s="17" t="s">
        <v>9</v>
      </c>
      <c r="B9" s="14">
        <v>3200</v>
      </c>
    </row>
    <row r="10" spans="1:2" x14ac:dyDescent="0.25">
      <c r="A10" s="13" t="s">
        <v>14</v>
      </c>
      <c r="B10" s="14">
        <v>11853</v>
      </c>
    </row>
    <row r="18" spans="4:4" x14ac:dyDescent="0.25">
      <c r="D18" t="s">
        <v>21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F849D3-2BF0-4229-B3BF-63FBBE30119C}">
  <dimension ref="A1:H9"/>
  <sheetViews>
    <sheetView workbookViewId="0">
      <selection activeCell="A6" sqref="A6"/>
    </sheetView>
  </sheetViews>
  <sheetFormatPr defaultRowHeight="15" x14ac:dyDescent="0.25"/>
  <cols>
    <col min="1" max="1" width="19.85546875" bestFit="1" customWidth="1"/>
    <col min="2" max="2" width="16.28515625" bestFit="1" customWidth="1"/>
    <col min="3" max="3" width="9.85546875" bestFit="1" customWidth="1"/>
    <col min="4" max="4" width="11.28515625" bestFit="1" customWidth="1"/>
  </cols>
  <sheetData>
    <row r="1" spans="1:8" ht="26.25" x14ac:dyDescent="0.4">
      <c r="A1" s="16" t="s">
        <v>25</v>
      </c>
      <c r="B1" s="16"/>
      <c r="C1" s="16"/>
      <c r="D1" s="16"/>
      <c r="E1" s="16"/>
      <c r="F1" s="16"/>
      <c r="G1" s="16"/>
      <c r="H1" s="16"/>
    </row>
    <row r="3" spans="1:8" x14ac:dyDescent="0.25">
      <c r="A3" s="12" t="s">
        <v>13</v>
      </c>
      <c r="B3" s="12" t="s">
        <v>24</v>
      </c>
    </row>
    <row r="4" spans="1:8" x14ac:dyDescent="0.25">
      <c r="B4" t="s">
        <v>22</v>
      </c>
      <c r="C4" t="s">
        <v>26</v>
      </c>
      <c r="D4" t="s">
        <v>14</v>
      </c>
    </row>
    <row r="5" spans="1:8" x14ac:dyDescent="0.25">
      <c r="A5" s="12" t="s">
        <v>20</v>
      </c>
      <c r="B5" s="2" t="s">
        <v>23</v>
      </c>
    </row>
    <row r="6" spans="1:8" x14ac:dyDescent="0.25">
      <c r="A6" s="13" t="s">
        <v>8</v>
      </c>
      <c r="B6" s="14">
        <v>4043</v>
      </c>
      <c r="C6" s="14">
        <v>4043</v>
      </c>
      <c r="D6" s="14">
        <v>4043</v>
      </c>
    </row>
    <row r="7" spans="1:8" x14ac:dyDescent="0.25">
      <c r="A7" s="13" t="s">
        <v>6</v>
      </c>
      <c r="B7" s="14">
        <v>2840</v>
      </c>
      <c r="C7" s="14">
        <v>2840</v>
      </c>
      <c r="D7" s="14">
        <v>2840</v>
      </c>
    </row>
    <row r="8" spans="1:8" x14ac:dyDescent="0.25">
      <c r="A8" s="13" t="s">
        <v>9</v>
      </c>
      <c r="B8" s="14">
        <v>3200</v>
      </c>
      <c r="C8" s="14">
        <v>3200</v>
      </c>
      <c r="D8" s="14">
        <v>3200</v>
      </c>
    </row>
    <row r="9" spans="1:8" x14ac:dyDescent="0.25">
      <c r="A9" s="13" t="s">
        <v>14</v>
      </c>
      <c r="B9" s="14">
        <v>10083</v>
      </c>
      <c r="C9" s="14">
        <v>10083</v>
      </c>
      <c r="D9" s="14">
        <v>10083</v>
      </c>
    </row>
  </sheetData>
  <mergeCells count="2">
    <mergeCell ref="A1:D1"/>
    <mergeCell ref="E1:H1"/>
  </mergeCells>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1"/>
  <sheetViews>
    <sheetView workbookViewId="0">
      <pane ySplit="1" topLeftCell="A2" activePane="bottomLeft" state="frozen"/>
      <selection pane="bottomLeft" activeCell="B7" sqref="B7"/>
    </sheetView>
  </sheetViews>
  <sheetFormatPr defaultRowHeight="15" x14ac:dyDescent="0.25"/>
  <cols>
    <col min="1" max="1" width="12" customWidth="1"/>
    <col min="2" max="2" width="17" bestFit="1" customWidth="1"/>
    <col min="3" max="3" width="22" customWidth="1"/>
    <col min="4" max="5" width="16" customWidth="1"/>
  </cols>
  <sheetData>
    <row r="1" spans="1:5" x14ac:dyDescent="0.25">
      <c r="A1" s="1" t="s">
        <v>0</v>
      </c>
      <c r="B1" s="1" t="s">
        <v>1</v>
      </c>
      <c r="C1" s="1" t="s">
        <v>2</v>
      </c>
      <c r="D1" s="1" t="s">
        <v>3</v>
      </c>
      <c r="E1" s="1" t="s">
        <v>4</v>
      </c>
    </row>
    <row r="2" spans="1:5" x14ac:dyDescent="0.25">
      <c r="A2">
        <v>1001</v>
      </c>
      <c r="B2" t="s">
        <v>5</v>
      </c>
      <c r="C2" t="s">
        <v>6</v>
      </c>
      <c r="D2" s="2">
        <v>46266</v>
      </c>
      <c r="E2" s="3">
        <v>450</v>
      </c>
    </row>
    <row r="3" spans="1:5" x14ac:dyDescent="0.25">
      <c r="A3">
        <v>1002</v>
      </c>
      <c r="B3" t="s">
        <v>7</v>
      </c>
      <c r="C3" t="s">
        <v>8</v>
      </c>
      <c r="D3" s="2">
        <v>46266</v>
      </c>
      <c r="E3" s="3">
        <v>799</v>
      </c>
    </row>
    <row r="4" spans="1:5" x14ac:dyDescent="0.25">
      <c r="A4">
        <v>1003</v>
      </c>
      <c r="B4" t="s">
        <v>5</v>
      </c>
      <c r="C4" t="s">
        <v>9</v>
      </c>
      <c r="D4" s="2">
        <v>46267</v>
      </c>
      <c r="E4" s="3">
        <v>620</v>
      </c>
    </row>
    <row r="5" spans="1:5" x14ac:dyDescent="0.25">
      <c r="A5">
        <v>1004</v>
      </c>
      <c r="B5" t="s">
        <v>7</v>
      </c>
      <c r="C5" t="s">
        <v>6</v>
      </c>
      <c r="D5" s="2">
        <v>46267</v>
      </c>
      <c r="E5" s="3">
        <v>350</v>
      </c>
    </row>
    <row r="6" spans="1:5" x14ac:dyDescent="0.25">
      <c r="A6">
        <v>1005</v>
      </c>
      <c r="B6" t="s">
        <v>5</v>
      </c>
      <c r="C6" t="s">
        <v>8</v>
      </c>
      <c r="D6" s="2">
        <v>46268</v>
      </c>
      <c r="E6" s="3">
        <v>999</v>
      </c>
    </row>
    <row r="7" spans="1:5" x14ac:dyDescent="0.25">
      <c r="A7">
        <v>1006</v>
      </c>
      <c r="B7" t="s">
        <v>7</v>
      </c>
      <c r="C7" t="s">
        <v>10</v>
      </c>
      <c r="D7" s="2">
        <v>46268</v>
      </c>
      <c r="E7" s="3">
        <v>420</v>
      </c>
    </row>
    <row r="8" spans="1:5" x14ac:dyDescent="0.25">
      <c r="A8">
        <v>1007</v>
      </c>
      <c r="B8" t="s">
        <v>5</v>
      </c>
      <c r="C8" t="s">
        <v>6</v>
      </c>
      <c r="D8" s="2">
        <v>46269</v>
      </c>
      <c r="E8" s="3">
        <v>550</v>
      </c>
    </row>
    <row r="9" spans="1:5" x14ac:dyDescent="0.25">
      <c r="A9">
        <v>1008</v>
      </c>
      <c r="B9" t="s">
        <v>7</v>
      </c>
      <c r="C9" t="s">
        <v>9</v>
      </c>
      <c r="D9" s="2">
        <v>46269</v>
      </c>
      <c r="E9" s="3">
        <v>700</v>
      </c>
    </row>
    <row r="10" spans="1:5" x14ac:dyDescent="0.25">
      <c r="A10">
        <v>1009</v>
      </c>
      <c r="B10" t="s">
        <v>5</v>
      </c>
      <c r="C10" t="s">
        <v>10</v>
      </c>
      <c r="D10" s="2">
        <v>46270</v>
      </c>
      <c r="E10" s="3">
        <v>380</v>
      </c>
    </row>
    <row r="11" spans="1:5" x14ac:dyDescent="0.25">
      <c r="A11">
        <v>1010</v>
      </c>
      <c r="B11" t="s">
        <v>7</v>
      </c>
      <c r="C11" t="s">
        <v>8</v>
      </c>
      <c r="D11" s="2">
        <v>46270</v>
      </c>
      <c r="E11" s="3">
        <v>650</v>
      </c>
    </row>
    <row r="12" spans="1:5" x14ac:dyDescent="0.25">
      <c r="A12">
        <v>1011</v>
      </c>
      <c r="B12" t="s">
        <v>5</v>
      </c>
      <c r="C12" t="s">
        <v>9</v>
      </c>
      <c r="D12" s="2">
        <v>46271</v>
      </c>
      <c r="E12" s="3">
        <v>480</v>
      </c>
    </row>
    <row r="13" spans="1:5" x14ac:dyDescent="0.25">
      <c r="A13">
        <v>1012</v>
      </c>
      <c r="B13" t="s">
        <v>7</v>
      </c>
      <c r="C13" t="s">
        <v>6</v>
      </c>
      <c r="D13" s="2">
        <v>46271</v>
      </c>
      <c r="E13" s="3">
        <v>625</v>
      </c>
    </row>
    <row r="14" spans="1:5" x14ac:dyDescent="0.25">
      <c r="A14">
        <v>1013</v>
      </c>
      <c r="B14" t="s">
        <v>5</v>
      </c>
      <c r="C14" t="s">
        <v>8</v>
      </c>
      <c r="D14" s="2">
        <v>46272</v>
      </c>
      <c r="E14" s="3">
        <v>720</v>
      </c>
    </row>
    <row r="15" spans="1:5" x14ac:dyDescent="0.25">
      <c r="A15">
        <v>1014</v>
      </c>
      <c r="B15" t="s">
        <v>7</v>
      </c>
      <c r="C15" t="s">
        <v>10</v>
      </c>
      <c r="D15" s="2">
        <v>46272</v>
      </c>
      <c r="E15" s="3">
        <v>510</v>
      </c>
    </row>
    <row r="16" spans="1:5" x14ac:dyDescent="0.25">
      <c r="A16">
        <v>1015</v>
      </c>
      <c r="B16" t="s">
        <v>5</v>
      </c>
      <c r="C16" t="s">
        <v>6</v>
      </c>
      <c r="D16" s="2">
        <v>46273</v>
      </c>
      <c r="E16" s="3">
        <v>390</v>
      </c>
    </row>
    <row r="17" spans="1:5" x14ac:dyDescent="0.25">
      <c r="A17">
        <v>1016</v>
      </c>
      <c r="B17" t="s">
        <v>7</v>
      </c>
      <c r="C17" t="s">
        <v>9</v>
      </c>
      <c r="D17" s="2">
        <v>46273</v>
      </c>
      <c r="E17" s="3">
        <v>840</v>
      </c>
    </row>
    <row r="18" spans="1:5" x14ac:dyDescent="0.25">
      <c r="A18">
        <v>1017</v>
      </c>
      <c r="B18" t="s">
        <v>5</v>
      </c>
      <c r="C18" t="s">
        <v>10</v>
      </c>
      <c r="D18" s="2">
        <v>46274</v>
      </c>
      <c r="E18" s="3">
        <v>460</v>
      </c>
    </row>
    <row r="19" spans="1:5" x14ac:dyDescent="0.25">
      <c r="A19">
        <v>1018</v>
      </c>
      <c r="B19" t="s">
        <v>7</v>
      </c>
      <c r="C19" t="s">
        <v>8</v>
      </c>
      <c r="D19" s="2">
        <v>46274</v>
      </c>
      <c r="E19" s="3">
        <v>875</v>
      </c>
    </row>
    <row r="20" spans="1:5" x14ac:dyDescent="0.25">
      <c r="A20">
        <v>1019</v>
      </c>
      <c r="B20" t="s">
        <v>5</v>
      </c>
      <c r="C20" t="s">
        <v>9</v>
      </c>
      <c r="D20" s="2">
        <v>46275</v>
      </c>
      <c r="E20" s="3">
        <v>560</v>
      </c>
    </row>
    <row r="21" spans="1:5" x14ac:dyDescent="0.25">
      <c r="A21">
        <v>1020</v>
      </c>
      <c r="B21" t="s">
        <v>7</v>
      </c>
      <c r="C21" t="s">
        <v>6</v>
      </c>
      <c r="D21" s="2">
        <v>46275</v>
      </c>
      <c r="E21" s="3">
        <v>475</v>
      </c>
    </row>
  </sheetData>
  <autoFilter ref="A1:E21" xr:uid="{00000000-0009-0000-0000-000000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5"/>
  <sheetViews>
    <sheetView workbookViewId="0">
      <pane ySplit="3" topLeftCell="A4" activePane="bottomLeft" state="frozen"/>
      <selection pane="bottomLeft"/>
    </sheetView>
  </sheetViews>
  <sheetFormatPr defaultRowHeight="15" x14ac:dyDescent="0.25"/>
  <cols>
    <col min="1" max="1" width="28" customWidth="1"/>
    <col min="2" max="2" width="24" customWidth="1"/>
  </cols>
  <sheetData>
    <row r="1" spans="1:2" ht="21" x14ac:dyDescent="0.35">
      <c r="A1" s="11" t="s">
        <v>11</v>
      </c>
      <c r="B1" s="9"/>
    </row>
    <row r="2" spans="1:2" x14ac:dyDescent="0.25">
      <c r="A2" s="4" t="s">
        <v>12</v>
      </c>
    </row>
    <row r="3" spans="1:2" x14ac:dyDescent="0.25">
      <c r="A3" s="5" t="s">
        <v>2</v>
      </c>
      <c r="B3" s="6" t="s">
        <v>13</v>
      </c>
    </row>
    <row r="4" spans="1:2" x14ac:dyDescent="0.25">
      <c r="A4" t="s">
        <v>10</v>
      </c>
      <c r="B4" s="3">
        <f>SUMIF('Orders Data'!$C:$C,A4,'Orders Data'!$E:$E)</f>
        <v>1770</v>
      </c>
    </row>
    <row r="5" spans="1:2" x14ac:dyDescent="0.25">
      <c r="A5" t="s">
        <v>8</v>
      </c>
      <c r="B5" s="3">
        <f>SUMIF('Orders Data'!$C:$C,A5,'Orders Data'!$E:$E)</f>
        <v>4043</v>
      </c>
    </row>
    <row r="6" spans="1:2" x14ac:dyDescent="0.25">
      <c r="A6" t="s">
        <v>6</v>
      </c>
      <c r="B6" s="3">
        <f>SUMIF('Orders Data'!$C:$C,A6,'Orders Data'!$E:$E)</f>
        <v>2840</v>
      </c>
    </row>
    <row r="7" spans="1:2" x14ac:dyDescent="0.25">
      <c r="A7" t="s">
        <v>9</v>
      </c>
      <c r="B7" s="3">
        <f>SUMIF('Orders Data'!$C:$C,A7,'Orders Data'!$E:$E)</f>
        <v>3200</v>
      </c>
    </row>
    <row r="8" spans="1:2" x14ac:dyDescent="0.25">
      <c r="A8" s="7" t="s">
        <v>14</v>
      </c>
      <c r="B8" s="7">
        <f>SUM(B4:B7)</f>
        <v>11853</v>
      </c>
    </row>
    <row r="11" spans="1:2" x14ac:dyDescent="0.25">
      <c r="A11" s="10" t="s">
        <v>15</v>
      </c>
      <c r="B11" s="9"/>
    </row>
    <row r="12" spans="1:2" x14ac:dyDescent="0.25">
      <c r="A12" s="8" t="s">
        <v>16</v>
      </c>
      <c r="B12" s="9"/>
    </row>
    <row r="13" spans="1:2" x14ac:dyDescent="0.25">
      <c r="A13" s="8" t="s">
        <v>17</v>
      </c>
      <c r="B13" s="9"/>
    </row>
    <row r="14" spans="1:2" x14ac:dyDescent="0.25">
      <c r="A14" s="8" t="s">
        <v>18</v>
      </c>
      <c r="B14" s="9"/>
    </row>
    <row r="15" spans="1:2" x14ac:dyDescent="0.25">
      <c r="A15" s="8" t="s">
        <v>19</v>
      </c>
      <c r="B15" s="9"/>
    </row>
  </sheetData>
  <mergeCells count="6">
    <mergeCell ref="A15:B15"/>
    <mergeCell ref="A11:B11"/>
    <mergeCell ref="A13:B13"/>
    <mergeCell ref="A14:B14"/>
    <mergeCell ref="A1:B1"/>
    <mergeCell ref="A12:B1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Sheet3</vt:lpstr>
      <vt:lpstr>Orders Data</vt:lpstr>
      <vt:lpstr>Sales 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NUPUR</cp:lastModifiedBy>
  <dcterms:created xsi:type="dcterms:W3CDTF">2026-10-01T19:31:07Z</dcterms:created>
  <dcterms:modified xsi:type="dcterms:W3CDTF">2026-10-01T20:16:37Z</dcterms:modified>
</cp:coreProperties>
</file>